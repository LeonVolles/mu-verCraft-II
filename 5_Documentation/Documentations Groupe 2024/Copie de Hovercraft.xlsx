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skarlsruhede-my.sharepoint.com/personal/vole1014_hs-karlsruhe_de/Documents/Studium/12 2025-26 Sommersemester ENSMM/ENSMM/Projet PIST/mu-verCraft-II/5_Documentation/Documentations Groupe 2024/"/>
    </mc:Choice>
  </mc:AlternateContent>
  <xr:revisionPtr revIDLastSave="0" documentId="14_{27BDE286-D919-42DC-B48A-D20E1112F78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Feuille 1" sheetId="1" r:id="rId1"/>
    <sheet name="Nomenclature (commande)" sheetId="2" r:id="rId2"/>
    <sheet name="Nomenclature (CAO)" sheetId="3" r:id="rId3"/>
    <sheet name="CDCF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C10" i="2"/>
  <c r="D10" i="2" s="1"/>
  <c r="E13" i="2" s="1"/>
  <c r="M9" i="2"/>
  <c r="D9" i="2"/>
  <c r="M8" i="2"/>
  <c r="D8" i="2"/>
  <c r="M7" i="2"/>
  <c r="D7" i="2"/>
  <c r="M6" i="2"/>
  <c r="D6" i="2"/>
  <c r="M5" i="2"/>
  <c r="D5" i="2"/>
  <c r="M4" i="2"/>
  <c r="D4" i="2"/>
  <c r="M3" i="2"/>
  <c r="D3" i="2"/>
  <c r="M2" i="2"/>
  <c r="D2" i="2"/>
</calcChain>
</file>

<file path=xl/sharedStrings.xml><?xml version="1.0" encoding="utf-8"?>
<sst xmlns="http://schemas.openxmlformats.org/spreadsheetml/2006/main" count="166" uniqueCount="137">
  <si>
    <t>Fournisseur :</t>
  </si>
  <si>
    <r>
      <rPr>
        <sz val="10"/>
        <color rgb="FF000000"/>
        <rFont val="Arial"/>
      </rPr>
      <t>Gotron</t>
    </r>
    <r>
      <rPr>
        <sz val="10"/>
        <color rgb="FF000000"/>
        <rFont val="Arial"/>
        <scheme val="minor"/>
      </rPr>
      <t>ic  URL</t>
    </r>
  </si>
  <si>
    <t>Conrad  URL</t>
  </si>
  <si>
    <t>Generation Robots  URL</t>
  </si>
  <si>
    <t>Misumi  URL</t>
  </si>
  <si>
    <t>Radiospares  URL</t>
  </si>
  <si>
    <t>Farnell  URL</t>
  </si>
  <si>
    <t>Digikey  URL</t>
  </si>
  <si>
    <t>Mouser  URL</t>
  </si>
  <si>
    <t>Microprocessor (Boult)  URL</t>
  </si>
  <si>
    <t>Reboul (Besançon)  URL</t>
  </si>
  <si>
    <t>Carbonetube  URL</t>
  </si>
  <si>
    <t>Trotec</t>
  </si>
  <si>
    <t>FRANCOIS MARIONNET (INGE ENSMM ELEC)</t>
  </si>
  <si>
    <t>Nom</t>
  </si>
  <si>
    <t>Nombre</t>
  </si>
  <si>
    <t>Prix (u)</t>
  </si>
  <si>
    <t>Prix (tot)</t>
  </si>
  <si>
    <t>État</t>
  </si>
  <si>
    <t>Réception</t>
  </si>
  <si>
    <t>Description</t>
  </si>
  <si>
    <t>Commentaire</t>
  </si>
  <si>
    <t>Lien</t>
  </si>
  <si>
    <t>Fournisseur</t>
  </si>
  <si>
    <t>Doc</t>
  </si>
  <si>
    <t>Poids (u)</t>
  </si>
  <si>
    <t>Poids (tot)</t>
  </si>
  <si>
    <t>Moteur SmooX 1507 Plus - 3800KV</t>
  </si>
  <si>
    <t>Validé</t>
  </si>
  <si>
    <t>Oui</t>
  </si>
  <si>
    <t xml:space="preserve">3800KV </t>
  </si>
  <si>
    <t>Fonctionne avec une batterie 4S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</si>
  <si>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</si>
  <si>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>Rcinpower</t>
  </si>
  <si>
    <t xml:space="preserve">GEMFAN 3052 - Tripales - Polycarbonate - 4pcs </t>
  </si>
  <si>
    <t>Shaft M5, diamètre 3 pouces</t>
  </si>
  <si>
    <t>x4 per unit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</si>
  <si>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</si>
  <si>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>Gemfan</t>
  </si>
  <si>
    <t xml:space="preserve">ESCs (Régulateur brushless) </t>
  </si>
  <si>
    <t>Pichler XQ - Charge admissible (max.): 50 A Continue 40 A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</si>
  <si>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</si>
  <si>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>Conrad Electronic/ Pichler</t>
  </si>
  <si>
    <t>Servomoteur analogique</t>
  </si>
  <si>
    <t>(L x l x H) 23 x 12 x 24 mm, Tension de fonctionnement
    4.8 - 6 V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</si>
  <si>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</si>
  <si>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 xml:space="preserve">Conrad Electronic/ Reely </t>
  </si>
  <si>
    <t>Arduino Nano 33 BLE Rev2 ABX00072</t>
  </si>
  <si>
    <t>Carte de développement Arduino Nano 33 BLE Rev2 basée sur un microcontrôleur Cortex-M4 avec interface Bluetooth 5 combinée à une unité de mesure inertielle</t>
  </si>
  <si>
    <t>Besoin d'un régulateur de tension pour l'alimentation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</si>
  <si>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</si>
  <si>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>Gotronic / Arduino</t>
  </si>
  <si>
    <t>Batterie Lipo Tattu  4S 1300mAh 100C</t>
  </si>
  <si>
    <t>Dimension: (L x l x H) 73 x 35 x 28 mm</t>
  </si>
  <si>
    <t>Tattu</t>
  </si>
  <si>
    <t>Régulateur de tension 3,3V</t>
  </si>
  <si>
    <t>L'arduino ne prend que du 3,3V et l'ESC ne renvoie que 5-6V
(Il s'avert que l'Arduino à son propre step down donc inutile)</t>
  </si>
  <si>
    <t>Mooser</t>
  </si>
  <si>
    <t>https://cdn-shop.adafruit.com/product-files/2745/P2745_Datasheet.pdf</t>
  </si>
  <si>
    <t>Toile en polyester (pour la jupe)</t>
  </si>
  <si>
    <t>Doit être résistant et imperméable idéalement ( K-way/sac poubelle potentielle)</t>
  </si>
  <si>
    <t>(a nos frais)</t>
  </si>
  <si>
    <t>Capteur IR</t>
  </si>
  <si>
    <t>Module suiveur de ligne Grove 101020172</t>
  </si>
  <si>
    <r>
      <rPr>
        <u/>
        <sz val="10"/>
        <color rgb="FF1155CC"/>
        <rFont val="Arial"/>
      </rPr>
      <t>Lien</t>
    </r>
    <r>
      <rPr>
        <sz val="10"/>
        <rFont val="Arial"/>
      </rPr>
      <t xml:space="preserve"> </t>
    </r>
  </si>
  <si>
    <t>Gotronic</t>
  </si>
  <si>
    <t>https://wiki.seeedstudio.com/Grove-Line_Finder/</t>
  </si>
  <si>
    <t>https://www.seeedstudio.com/Grove-Line-Finder-v1-1.html</t>
  </si>
  <si>
    <t>https://www.instructables.com/Make-a-mini-toy-car-with-Arduino/</t>
  </si>
  <si>
    <t>Prix Total :</t>
  </si>
  <si>
    <t>(sans frais de livraison)</t>
  </si>
  <si>
    <t>Matériau</t>
  </si>
  <si>
    <t>Poids</t>
  </si>
  <si>
    <t>prt_lift_struct.prt</t>
  </si>
  <si>
    <t>En conception</t>
  </si>
  <si>
    <t>prt_lower_bati.prt</t>
  </si>
  <si>
    <t>prt_rudder.prt</t>
  </si>
  <si>
    <t>prt_rudders_link.prt</t>
  </si>
  <si>
    <t>prt_skirt_ring.prt</t>
  </si>
  <si>
    <t>prt_thrust_struct.prt</t>
  </si>
  <si>
    <t>prt_upper_bati.prt</t>
  </si>
  <si>
    <t>Fonctions</t>
  </si>
  <si>
    <t>Énoncé de la fonction</t>
  </si>
  <si>
    <t>Critères d'appréciation</t>
  </si>
  <si>
    <t>Niveaux d'exigence</t>
  </si>
  <si>
    <t>FP1</t>
  </si>
  <si>
    <t>Se déplacer de manière autonome</t>
  </si>
  <si>
    <t>Précision des déplacements</t>
  </si>
  <si>
    <t>&lt; 5 cm d'erreur par rapport à la trajectoire cible</t>
  </si>
  <si>
    <t>FP2</t>
  </si>
  <si>
    <t>Éviter les obstacles</t>
  </si>
  <si>
    <t>Capacité à détecter et contourner les obstacles</t>
  </si>
  <si>
    <t>Obstacle détecté à &gt; 10 cm de distance</t>
  </si>
  <si>
    <t>FP3</t>
  </si>
  <si>
    <t>Détecter une ligne blanche au sol</t>
  </si>
  <si>
    <t>Capacité à suivre les lignes et à se relocaliser</t>
  </si>
  <si>
    <t>Distinguer une bande de 2 cm de largeur à une distance de 5 cm</t>
  </si>
  <si>
    <t>FC1</t>
  </si>
  <si>
    <t>Être écologique</t>
  </si>
  <si>
    <t>Consommation d'énergie réduite</t>
  </si>
  <si>
    <t>Batterie rechargeable, durée de vie &gt; 1 heure</t>
  </si>
  <si>
    <t>FC2</t>
  </si>
  <si>
    <t>Coût de production abordable</t>
  </si>
  <si>
    <t>Coût de fabrication par unité</t>
  </si>
  <si>
    <t>&lt; 250€</t>
  </si>
  <si>
    <t>FC3</t>
  </si>
  <si>
    <t>Être esthétique</t>
  </si>
  <si>
    <t>Design et finitions</t>
  </si>
  <si>
    <t>Compact, design aérodynamique</t>
  </si>
  <si>
    <t>FC4</t>
  </si>
  <si>
    <t>Respecter les normes de sécurité</t>
  </si>
  <si>
    <t>Sécurité des composants et utilisateurs</t>
  </si>
  <si>
    <t>Composants non coupants, tensions &lt; 24V</t>
  </si>
  <si>
    <t>FC5</t>
  </si>
  <si>
    <t>Facile à programmer et contrôler</t>
  </si>
  <si>
    <t>Temps nécessaire à la configuration</t>
  </si>
  <si>
    <t>Moins de 30 minutes pour la configuration initiale</t>
  </si>
  <si>
    <t>FC6</t>
  </si>
  <si>
    <t>Résister à l’usure et à l’humidité</t>
  </si>
  <si>
    <t>Robustesse des matériaux</t>
  </si>
  <si>
    <t>Matériaux imperméables et résistants aux chocs</t>
  </si>
  <si>
    <t>FC7</t>
  </si>
  <si>
    <t>Avoir une documentation complète</t>
  </si>
  <si>
    <t>Clarté des instructions et plans</t>
  </si>
  <si>
    <t>Documentation technique détaillée et schémas CAO fournis</t>
  </si>
  <si>
    <t>FC8</t>
  </si>
  <si>
    <t>Réalisation faisable par des étudiants</t>
  </si>
  <si>
    <t>Complexité des tâches</t>
  </si>
  <si>
    <t>Niveau adapté pour des débutants en robotique et mécatronique</t>
  </si>
  <si>
    <t>FC9</t>
  </si>
  <si>
    <t>Avoir un poids réduit</t>
  </si>
  <si>
    <t>Maniabilité et transportabilité</t>
  </si>
  <si>
    <t>P1 : Poids total &lt; 750 g P2 : Poids total &lt; 500g</t>
  </si>
  <si>
    <t>FC10</t>
  </si>
  <si>
    <t>Loi de commande</t>
  </si>
  <si>
    <t>Effectuer plusieurs simulation</t>
  </si>
  <si>
    <t>Loi de commande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</si>
</sst>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rgb="FFF8F9FA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434343"/>
      <name val="Arial"/>
    </font>
    <font>
      <u/>
      <sz val="10"/>
      <color rgb="FF0000FF"/>
      <name val="Roboto"/>
    </font>
    <font>
      <sz val="10"/>
      <color theme="1"/>
      <name val="Arial"/>
    </font>
    <font>
      <u/>
      <sz val="10"/>
      <color rgb="FF434343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theme="1"/>
      <name val="Arial"/>
      <scheme val="minor"/>
    </font>
    <font>
      <sz val="10"/>
      <color rgb="FF000000"/>
      <name val="Arial"/>
    </font>
    <font>
      <u/>
      <sz val="10"/>
      <color rgb="FF1155CC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hair">
        <color rgb="FF000000"/>
      </right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hair">
        <color rgb="FF000000"/>
      </right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hair">
        <color rgb="FF000000"/>
      </right>
      <top style="thin">
        <color rgb="FFF6F8F9"/>
      </top>
      <bottom style="thin">
        <color rgb="FFF6F8F9"/>
      </bottom>
      <diagonal/>
    </border>
    <border>
      <left style="hair">
        <color rgb="FF000000"/>
      </left>
      <right style="hair">
        <color rgb="FF000000"/>
      </right>
      <top style="thin">
        <color rgb="FFF6F8F9"/>
      </top>
      <bottom style="thin">
        <color rgb="FFF6F8F9"/>
      </bottom>
      <diagonal/>
    </border>
    <border>
      <left style="hair">
        <color rgb="FF000000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hair">
        <color rgb="FF000000"/>
      </right>
      <top style="thin">
        <color rgb="FFF6F8F9"/>
      </top>
      <bottom style="thin">
        <color rgb="FF284E3F"/>
      </bottom>
      <diagonal/>
    </border>
    <border>
      <left style="hair">
        <color rgb="FF000000"/>
      </left>
      <right style="hair">
        <color rgb="FF000000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7" fillId="4" borderId="8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4" borderId="8" xfId="0" applyFont="1" applyFill="1" applyBorder="1" applyAlignment="1">
      <alignment vertical="center"/>
    </xf>
    <xf numFmtId="0" fontId="11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0" fillId="3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49" fontId="4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0" fillId="3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49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0" fillId="3" borderId="8" xfId="0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0" fillId="3" borderId="5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49" fontId="4" fillId="0" borderId="20" xfId="0" applyNumberFormat="1" applyFont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4" fillId="6" borderId="10" xfId="0" applyFont="1" applyFill="1" applyBorder="1"/>
    <xf numFmtId="0" fontId="4" fillId="0" borderId="10" xfId="0" applyFont="1" applyBorder="1"/>
    <xf numFmtId="0" fontId="10" fillId="0" borderId="10" xfId="0" applyFont="1" applyBorder="1" applyAlignment="1">
      <alignment horizontal="left"/>
    </xf>
    <xf numFmtId="0" fontId="10" fillId="0" borderId="10" xfId="0" applyFont="1" applyBorder="1" applyAlignment="1">
      <alignment wrapText="1"/>
    </xf>
    <xf numFmtId="0" fontId="10" fillId="0" borderId="10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/>
  </cellXfs>
  <cellStyles count="1">
    <cellStyle name="Standard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Nomenclature (commande)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Nomenclature (CAO)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enclature_Commande" displayName="Nomenclature_Commande" ref="A1:M15">
  <tableColumns count="13">
    <tableColumn id="1" xr3:uid="{00000000-0010-0000-0000-000001000000}" name="Nom"/>
    <tableColumn id="2" xr3:uid="{00000000-0010-0000-0000-000002000000}" name="Nombre"/>
    <tableColumn id="3" xr3:uid="{00000000-0010-0000-0000-000003000000}" name="Prix (u)"/>
    <tableColumn id="4" xr3:uid="{00000000-0010-0000-0000-000004000000}" name="Prix (tot)"/>
    <tableColumn id="5" xr3:uid="{00000000-0010-0000-0000-000005000000}" name="État"/>
    <tableColumn id="6" xr3:uid="{00000000-0010-0000-0000-000006000000}" name="Réception"/>
    <tableColumn id="7" xr3:uid="{00000000-0010-0000-0000-000007000000}" name="Description"/>
    <tableColumn id="8" xr3:uid="{00000000-0010-0000-0000-000008000000}" name="Commentaire"/>
    <tableColumn id="9" xr3:uid="{00000000-0010-0000-0000-000009000000}" name="Lien"/>
    <tableColumn id="10" xr3:uid="{00000000-0010-0000-0000-00000A000000}" name="Fournisseur"/>
    <tableColumn id="11" xr3:uid="{00000000-0010-0000-0000-00000B000000}" name="Doc"/>
    <tableColumn id="12" xr3:uid="{00000000-0010-0000-0000-00000C000000}" name="Poids (u)"/>
    <tableColumn id="13" xr3:uid="{00000000-0010-0000-0000-00000D000000}" name="Poids (tot)"/>
  </tableColumns>
  <tableStyleInfo name="Nomenclature (commande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menclature_CAO" displayName="Nomenclature_CAO" ref="A1:G15">
  <tableColumns count="7">
    <tableColumn id="1" xr3:uid="{00000000-0010-0000-0100-000001000000}" name="Nom"/>
    <tableColumn id="2" xr3:uid="{00000000-0010-0000-0100-000002000000}" name="Nombre"/>
    <tableColumn id="3" xr3:uid="{00000000-0010-0000-0100-000003000000}" name="État"/>
    <tableColumn id="4" xr3:uid="{00000000-0010-0000-0100-000004000000}" name="Matériau"/>
    <tableColumn id="5" xr3:uid="{00000000-0010-0000-0100-000005000000}" name="Poids"/>
    <tableColumn id="6" xr3:uid="{00000000-0010-0000-0100-000006000000}" name="Description"/>
    <tableColumn id="7" xr3:uid="{00000000-0010-0000-0100-000007000000}" name="Commentaire"/>
  </tableColumns>
  <tableStyleInfo name="Nomenclature (CAO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odle.ens2m.fr/mod/url/view.php?id=24653" TargetMode="External"/><Relationship Id="rId3" Type="http://schemas.openxmlformats.org/officeDocument/2006/relationships/hyperlink" Target="https://www.moodle.ens2m.fr/mod/url/view.php?id=24884" TargetMode="External"/><Relationship Id="rId7" Type="http://schemas.openxmlformats.org/officeDocument/2006/relationships/hyperlink" Target="https://www.moodle.ens2m.fr/mod/url/view.php?id=24652" TargetMode="External"/><Relationship Id="rId2" Type="http://schemas.openxmlformats.org/officeDocument/2006/relationships/hyperlink" Target="https://www.moodle.ens2m.fr/mod/url/view.php?id=24649" TargetMode="External"/><Relationship Id="rId1" Type="http://schemas.openxmlformats.org/officeDocument/2006/relationships/hyperlink" Target="https://www.moodle.ens2m.fr/mod/url/view.php?id=24650" TargetMode="External"/><Relationship Id="rId6" Type="http://schemas.openxmlformats.org/officeDocument/2006/relationships/hyperlink" Target="https://www.moodle.ens2m.fr/mod/url/view.php?id=24648" TargetMode="External"/><Relationship Id="rId11" Type="http://schemas.openxmlformats.org/officeDocument/2006/relationships/hyperlink" Target="https://www.moodle.ens2m.fr/mod/url/view.php?id=24656" TargetMode="External"/><Relationship Id="rId5" Type="http://schemas.openxmlformats.org/officeDocument/2006/relationships/hyperlink" Target="https://www.moodle.ens2m.fr/mod/url/view.php?id=24647" TargetMode="External"/><Relationship Id="rId10" Type="http://schemas.openxmlformats.org/officeDocument/2006/relationships/hyperlink" Target="https://www.moodle.ens2m.fr/mod/url/view.php?id=24655" TargetMode="External"/><Relationship Id="rId4" Type="http://schemas.openxmlformats.org/officeDocument/2006/relationships/hyperlink" Target="https://www.moodle.ens2m.fr/mod/url/view.php?id=24646" TargetMode="External"/><Relationship Id="rId9" Type="http://schemas.openxmlformats.org/officeDocument/2006/relationships/hyperlink" Target="https://www.moodle.ens2m.fr/mod/url/view.php?id=2465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dn-shop.adafruit.com/product-files/2745/P2745_Datasheet.pdf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conrad.fr/fr/p/pichler-pulsar-b-40-regulateur-de-vitesse-brushless-de-voiture-charge-admissible-max-50-a-3204132.html" TargetMode="External"/><Relationship Id="rId7" Type="http://schemas.openxmlformats.org/officeDocument/2006/relationships/hyperlink" Target="https://www.mouser.fr/ProductDetail/Adafruit/2745?qs=F12%252BZJI6bgq%252BRTrDjijiPw%3D%3D" TargetMode="External"/><Relationship Id="rId12" Type="http://schemas.openxmlformats.org/officeDocument/2006/relationships/hyperlink" Target="https://www.instructables.com/Make-a-mini-toy-car-with-Arduino/" TargetMode="External"/><Relationship Id="rId2" Type="http://schemas.openxmlformats.org/officeDocument/2006/relationships/hyperlink" Target="https://www.drone-fpv-racer.com/gemfan-3052-tripales-polycarbonate-4pcs-1977.html" TargetMode="External"/><Relationship Id="rId1" Type="http://schemas.openxmlformats.org/officeDocument/2006/relationships/hyperlink" Target="https://www.drone-fpv-racer.com/moteur-smoox-1507-plus-3800kv-rcinpower-9822.html" TargetMode="External"/><Relationship Id="rId6" Type="http://schemas.openxmlformats.org/officeDocument/2006/relationships/hyperlink" Target="https://www.conrad.fr/fr/p/tattu-pack-de-batterie-lipo-14-8-v-1300-mah-nombre-de-cellules-4-100-c-softcase-xt60-1892614.html" TargetMode="External"/><Relationship Id="rId11" Type="http://schemas.openxmlformats.org/officeDocument/2006/relationships/hyperlink" Target="https://www.seeedstudio.com/Grove-Line-Finder-v1-1.html" TargetMode="External"/><Relationship Id="rId5" Type="http://schemas.openxmlformats.org/officeDocument/2006/relationships/hyperlink" Target="https://www.gotronic.fr/art-arduino-nano-33-ble-rev2-abx00072-38727.htm" TargetMode="External"/><Relationship Id="rId10" Type="http://schemas.openxmlformats.org/officeDocument/2006/relationships/hyperlink" Target="https://wiki.seeedstudio.com/Grove-Line_Finder/" TargetMode="External"/><Relationship Id="rId4" Type="http://schemas.openxmlformats.org/officeDocument/2006/relationships/hyperlink" Target="https://www.conrad.fr/fr/p/reely-mini-servomoteur-analogique-materiau-entrainement-plastique-systeme-de-connecteur-jr-2148502.html" TargetMode="External"/><Relationship Id="rId9" Type="http://schemas.openxmlformats.org/officeDocument/2006/relationships/hyperlink" Target="https://www.gotronic.fr/art-module-suiveur-de-ligne-grove-101020172-18974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7"/>
  <sheetViews>
    <sheetView tabSelected="1" workbookViewId="0">
      <selection activeCell="G21" sqref="G21"/>
    </sheetView>
  </sheetViews>
  <sheetFormatPr baseColWidth="10" defaultColWidth="12.5703125" defaultRowHeight="15.75" customHeight="1" x14ac:dyDescent="0.2"/>
  <cols>
    <col min="1" max="1" width="61.28515625" customWidth="1"/>
    <col min="2" max="2" width="19.57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4" t="s">
        <v>12</v>
      </c>
    </row>
    <row r="16" spans="1:1" x14ac:dyDescent="0.2">
      <c r="A16" s="4" t="s">
        <v>13</v>
      </c>
    </row>
    <row r="17" spans="1:1" x14ac:dyDescent="0.2">
      <c r="A17" s="4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4.140625" customWidth="1"/>
    <col min="2" max="2" width="11.5703125" customWidth="1"/>
    <col min="3" max="3" width="14.140625" customWidth="1"/>
    <col min="5" max="5" width="18.7109375" customWidth="1"/>
    <col min="6" max="6" width="13.28515625" customWidth="1"/>
    <col min="7" max="7" width="33.5703125" customWidth="1"/>
    <col min="8" max="8" width="28.42578125" customWidth="1"/>
    <col min="9" max="9" width="11.140625" customWidth="1"/>
    <col min="10" max="10" width="14.5703125" customWidth="1"/>
  </cols>
  <sheetData>
    <row r="1" spans="1:13" x14ac:dyDescent="0.2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7" t="s">
        <v>26</v>
      </c>
    </row>
    <row r="2" spans="1:13" x14ac:dyDescent="0.2">
      <c r="A2" s="8" t="s">
        <v>27</v>
      </c>
      <c r="B2" s="9">
        <v>4</v>
      </c>
      <c r="C2" s="10">
        <v>19.899999999999999</v>
      </c>
      <c r="D2" s="9">
        <f t="shared" ref="D2:D10" si="0">B2*C2</f>
        <v>79.599999999999994</v>
      </c>
      <c r="E2" s="9" t="s">
        <v>28</v>
      </c>
      <c r="F2" s="9" t="s">
        <v>29</v>
      </c>
      <c r="G2" s="9" t="s">
        <v>30</v>
      </c>
      <c r="H2" s="9" t="s">
        <v>31</v>
      </c>
      <c r="I2" s="11" t="s">
        <v>32</v>
      </c>
      <c r="J2" s="9" t="s">
        <v>33</v>
      </c>
      <c r="K2" s="9"/>
      <c r="L2" s="9">
        <v>16.7</v>
      </c>
      <c r="M2" s="12">
        <f t="shared" ref="M2:M10" si="1">L2*B2</f>
        <v>66.8</v>
      </c>
    </row>
    <row r="3" spans="1:13" x14ac:dyDescent="0.2">
      <c r="A3" s="13" t="s">
        <v>34</v>
      </c>
      <c r="B3" s="14">
        <v>2</v>
      </c>
      <c r="C3" s="15">
        <v>2.9</v>
      </c>
      <c r="D3" s="14">
        <f t="shared" si="0"/>
        <v>5.8</v>
      </c>
      <c r="E3" s="14" t="s">
        <v>28</v>
      </c>
      <c r="F3" s="14" t="s">
        <v>29</v>
      </c>
      <c r="G3" s="14" t="s">
        <v>35</v>
      </c>
      <c r="H3" s="14" t="s">
        <v>36</v>
      </c>
      <c r="I3" s="16" t="s">
        <v>37</v>
      </c>
      <c r="J3" s="14" t="s">
        <v>38</v>
      </c>
      <c r="K3" s="14"/>
      <c r="L3" s="14">
        <v>2</v>
      </c>
      <c r="M3" s="17">
        <f t="shared" si="1"/>
        <v>4</v>
      </c>
    </row>
    <row r="4" spans="1:13" x14ac:dyDescent="0.2">
      <c r="A4" s="8" t="s">
        <v>39</v>
      </c>
      <c r="B4" s="9">
        <v>4</v>
      </c>
      <c r="C4" s="10">
        <v>27.99</v>
      </c>
      <c r="D4" s="9">
        <f t="shared" si="0"/>
        <v>111.96</v>
      </c>
      <c r="E4" s="9" t="s">
        <v>28</v>
      </c>
      <c r="F4" s="9" t="s">
        <v>29</v>
      </c>
      <c r="G4" s="9" t="s">
        <v>40</v>
      </c>
      <c r="H4" s="9"/>
      <c r="I4" s="11" t="s">
        <v>41</v>
      </c>
      <c r="J4" s="9" t="s">
        <v>42</v>
      </c>
      <c r="K4" s="9"/>
      <c r="L4" s="9">
        <v>45</v>
      </c>
      <c r="M4" s="12">
        <f t="shared" si="1"/>
        <v>180</v>
      </c>
    </row>
    <row r="5" spans="1:13" x14ac:dyDescent="0.2">
      <c r="A5" s="13" t="s">
        <v>43</v>
      </c>
      <c r="B5" s="14">
        <v>2</v>
      </c>
      <c r="C5" s="15">
        <v>9.49</v>
      </c>
      <c r="D5" s="14">
        <f t="shared" si="0"/>
        <v>18.98</v>
      </c>
      <c r="E5" s="14" t="s">
        <v>28</v>
      </c>
      <c r="F5" s="14" t="s">
        <v>29</v>
      </c>
      <c r="G5" s="14" t="s">
        <v>44</v>
      </c>
      <c r="H5" s="14"/>
      <c r="I5" s="16" t="s">
        <v>45</v>
      </c>
      <c r="J5" s="14" t="s">
        <v>46</v>
      </c>
      <c r="K5" s="14"/>
      <c r="L5" s="14">
        <v>8</v>
      </c>
      <c r="M5" s="17">
        <f t="shared" si="1"/>
        <v>16</v>
      </c>
    </row>
    <row r="6" spans="1:13" x14ac:dyDescent="0.2">
      <c r="A6" s="8" t="s">
        <v>47</v>
      </c>
      <c r="B6" s="9">
        <v>2</v>
      </c>
      <c r="C6" s="10">
        <v>35.200000000000003</v>
      </c>
      <c r="D6" s="9">
        <f t="shared" si="0"/>
        <v>70.400000000000006</v>
      </c>
      <c r="E6" s="9" t="s">
        <v>28</v>
      </c>
      <c r="F6" s="9" t="s">
        <v>29</v>
      </c>
      <c r="G6" s="9" t="s">
        <v>48</v>
      </c>
      <c r="H6" s="9" t="s">
        <v>49</v>
      </c>
      <c r="I6" s="11" t="s">
        <v>50</v>
      </c>
      <c r="J6" s="9" t="s">
        <v>51</v>
      </c>
      <c r="K6" s="9"/>
      <c r="L6" s="9">
        <v>5</v>
      </c>
      <c r="M6" s="12">
        <f t="shared" si="1"/>
        <v>10</v>
      </c>
    </row>
    <row r="7" spans="1:13" x14ac:dyDescent="0.2">
      <c r="A7" s="13" t="s">
        <v>52</v>
      </c>
      <c r="B7" s="14">
        <v>2</v>
      </c>
      <c r="C7" s="18">
        <v>24.99</v>
      </c>
      <c r="D7" s="14">
        <f t="shared" si="0"/>
        <v>49.98</v>
      </c>
      <c r="E7" s="14" t="s">
        <v>28</v>
      </c>
      <c r="F7" s="14" t="s">
        <v>29</v>
      </c>
      <c r="G7" s="14" t="s">
        <v>53</v>
      </c>
      <c r="H7" s="14"/>
      <c r="I7" s="19" t="s">
        <v>22</v>
      </c>
      <c r="J7" s="14" t="s">
        <v>54</v>
      </c>
      <c r="K7" s="14"/>
      <c r="L7" s="14">
        <v>149</v>
      </c>
      <c r="M7" s="17">
        <f t="shared" si="1"/>
        <v>298</v>
      </c>
    </row>
    <row r="8" spans="1:13" x14ac:dyDescent="0.2">
      <c r="A8" s="8" t="s">
        <v>55</v>
      </c>
      <c r="B8" s="9">
        <v>2</v>
      </c>
      <c r="C8" s="10">
        <v>4.5999999999999996</v>
      </c>
      <c r="D8" s="9">
        <f t="shared" si="0"/>
        <v>9.1999999999999993</v>
      </c>
      <c r="E8" s="9" t="s">
        <v>28</v>
      </c>
      <c r="F8" s="9" t="s">
        <v>29</v>
      </c>
      <c r="G8" s="20"/>
      <c r="H8" s="9" t="s">
        <v>56</v>
      </c>
      <c r="I8" s="21" t="s">
        <v>22</v>
      </c>
      <c r="J8" s="9" t="s">
        <v>57</v>
      </c>
      <c r="K8" s="22" t="s">
        <v>58</v>
      </c>
      <c r="L8" s="9">
        <v>2</v>
      </c>
      <c r="M8" s="12">
        <f t="shared" si="1"/>
        <v>4</v>
      </c>
    </row>
    <row r="9" spans="1:13" x14ac:dyDescent="0.2">
      <c r="A9" s="13" t="s">
        <v>59</v>
      </c>
      <c r="B9" s="14">
        <v>1</v>
      </c>
      <c r="C9" s="15">
        <v>8</v>
      </c>
      <c r="D9" s="14">
        <f t="shared" si="0"/>
        <v>8</v>
      </c>
      <c r="E9" s="14" t="s">
        <v>28</v>
      </c>
      <c r="F9" s="14" t="s">
        <v>29</v>
      </c>
      <c r="G9" s="14" t="s">
        <v>60</v>
      </c>
      <c r="H9" s="14" t="s">
        <v>61</v>
      </c>
      <c r="I9" s="23"/>
      <c r="J9" s="14"/>
      <c r="K9" s="14"/>
      <c r="L9" s="14">
        <v>10</v>
      </c>
      <c r="M9" s="17">
        <f t="shared" si="1"/>
        <v>10</v>
      </c>
    </row>
    <row r="10" spans="1:13" x14ac:dyDescent="0.2">
      <c r="A10" s="8" t="s">
        <v>62</v>
      </c>
      <c r="B10" s="9">
        <v>2</v>
      </c>
      <c r="C10" s="10">
        <f>4.4</f>
        <v>4.4000000000000004</v>
      </c>
      <c r="D10" s="9">
        <f t="shared" si="0"/>
        <v>8.8000000000000007</v>
      </c>
      <c r="E10" s="9" t="s">
        <v>28</v>
      </c>
      <c r="F10" s="9" t="s">
        <v>29</v>
      </c>
      <c r="G10" s="9" t="s">
        <v>63</v>
      </c>
      <c r="H10" s="9"/>
      <c r="I10" s="11" t="s">
        <v>64</v>
      </c>
      <c r="J10" s="9" t="s">
        <v>65</v>
      </c>
      <c r="K10" s="24" t="s">
        <v>66</v>
      </c>
      <c r="L10" s="9">
        <v>8</v>
      </c>
      <c r="M10" s="12">
        <f t="shared" si="1"/>
        <v>16</v>
      </c>
    </row>
    <row r="11" spans="1:13" x14ac:dyDescent="0.2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8" t="s">
        <v>67</v>
      </c>
      <c r="L11" s="29"/>
      <c r="M11" s="30"/>
    </row>
    <row r="12" spans="1:13" x14ac:dyDescent="0.2">
      <c r="A12" s="31"/>
      <c r="B12" s="32"/>
      <c r="C12" s="32"/>
      <c r="D12" s="32"/>
      <c r="E12" s="32"/>
      <c r="F12" s="32"/>
      <c r="G12" s="33"/>
      <c r="H12" s="32"/>
      <c r="I12" s="32"/>
      <c r="J12" s="32"/>
      <c r="K12" s="34" t="s">
        <v>68</v>
      </c>
      <c r="L12" s="35"/>
      <c r="M12" s="36"/>
    </row>
    <row r="13" spans="1:13" x14ac:dyDescent="0.2">
      <c r="A13" s="25"/>
      <c r="B13" s="26"/>
      <c r="C13" s="26"/>
      <c r="D13" s="37" t="s">
        <v>69</v>
      </c>
      <c r="E13" s="38">
        <f>SUM(D3:D10)</f>
        <v>283.12</v>
      </c>
      <c r="F13" s="39" t="s">
        <v>70</v>
      </c>
      <c r="G13" s="27"/>
      <c r="H13" s="26"/>
      <c r="I13" s="26"/>
      <c r="J13" s="26"/>
      <c r="K13" s="26"/>
      <c r="L13" s="29"/>
      <c r="M13" s="30"/>
    </row>
    <row r="14" spans="1:13" x14ac:dyDescent="0.2">
      <c r="A14" s="31"/>
      <c r="B14" s="32"/>
      <c r="C14" s="32"/>
      <c r="D14" s="32"/>
      <c r="E14" s="32"/>
      <c r="F14" s="32"/>
      <c r="G14" s="33"/>
      <c r="H14" s="32"/>
      <c r="I14" s="32"/>
      <c r="J14" s="32"/>
      <c r="K14" s="32"/>
      <c r="L14" s="32"/>
      <c r="M14" s="40"/>
    </row>
    <row r="15" spans="1:13" x14ac:dyDescent="0.2">
      <c r="B15" s="41"/>
      <c r="C15" s="41"/>
      <c r="D15" s="41"/>
      <c r="E15" s="41"/>
      <c r="F15" s="41"/>
      <c r="G15" s="42"/>
      <c r="H15" s="41"/>
      <c r="I15" s="41"/>
      <c r="J15" s="41"/>
      <c r="K15" s="41"/>
      <c r="L15" s="41"/>
      <c r="M15" s="43"/>
    </row>
  </sheetData>
  <dataValidations count="4">
    <dataValidation type="list" allowBlank="1" sqref="F2:F10" xr:uid="{00000000-0002-0000-0100-000000000000}">
      <formula1>"Non,En cours,Oui"</formula1>
    </dataValidation>
    <dataValidation type="list" allowBlank="1" sqref="E2:E10" xr:uid="{00000000-0002-0000-0100-000001000000}">
      <formula1>"Pas commencé,En conception,Rejeté,Validé,En cours de valid"</formula1>
    </dataValidation>
    <dataValidation type="custom" allowBlank="1" showDropDown="1" sqref="C2:C15" xr:uid="{00000000-0002-0000-0100-000002000000}">
      <formula1>AND(ISNUMBER(C2),(NOT(OR(NOT(ISERROR(DATEVALUE(C2))), AND(ISNUMBER(C2), LEFT(CELL("format", C2))="D")))))</formula1>
    </dataValidation>
    <dataValidation allowBlank="1" showDropDown="1" sqref="G2:G15" xr:uid="{00000000-0002-0000-0100-000003000000}"/>
  </dataValidations>
  <hyperlinks>
    <hyperlink ref="I2" r:id="rId1" location="/44-couleur-gris" xr:uid="{00000000-0004-0000-0100-000000000000}"/>
    <hyperlink ref="I3" r:id="rId2" xr:uid="{00000000-0004-0000-0100-000001000000}"/>
    <hyperlink ref="I4" r:id="rId3" location="productDownloads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K8" r:id="rId8" xr:uid="{00000000-0004-0000-0100-000007000000}"/>
    <hyperlink ref="I10" r:id="rId9" xr:uid="{00000000-0004-0000-0100-000008000000}"/>
    <hyperlink ref="K10" r:id="rId10" xr:uid="{00000000-0004-0000-0100-000009000000}"/>
    <hyperlink ref="K11" r:id="rId11" xr:uid="{00000000-0004-0000-0100-00000A000000}"/>
    <hyperlink ref="K12" r:id="rId12" xr:uid="{00000000-0004-0000-0100-00000B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7.42578125" customWidth="1"/>
    <col min="2" max="2" width="11.5703125" customWidth="1"/>
    <col min="3" max="3" width="18.7109375" customWidth="1"/>
    <col min="4" max="4" width="15.140625" customWidth="1"/>
    <col min="5" max="5" width="11" customWidth="1"/>
    <col min="6" max="6" width="33.5703125" customWidth="1"/>
    <col min="7" max="7" width="28.42578125" customWidth="1"/>
  </cols>
  <sheetData>
    <row r="1" spans="1:7" x14ac:dyDescent="0.2">
      <c r="A1" s="5" t="s">
        <v>14</v>
      </c>
      <c r="B1" s="6" t="s">
        <v>15</v>
      </c>
      <c r="C1" s="6" t="s">
        <v>18</v>
      </c>
      <c r="D1" s="6" t="s">
        <v>71</v>
      </c>
      <c r="E1" s="6" t="s">
        <v>72</v>
      </c>
      <c r="F1" s="6" t="s">
        <v>20</v>
      </c>
      <c r="G1" s="7" t="s">
        <v>21</v>
      </c>
    </row>
    <row r="2" spans="1:7" x14ac:dyDescent="0.2">
      <c r="A2" s="8" t="s">
        <v>73</v>
      </c>
      <c r="B2" s="9">
        <v>1</v>
      </c>
      <c r="C2" s="9" t="s">
        <v>74</v>
      </c>
      <c r="D2" s="9"/>
      <c r="E2" s="9"/>
      <c r="F2" s="9"/>
      <c r="G2" s="9"/>
    </row>
    <row r="3" spans="1:7" x14ac:dyDescent="0.2">
      <c r="A3" s="13" t="s">
        <v>75</v>
      </c>
      <c r="B3" s="14">
        <v>1</v>
      </c>
      <c r="C3" s="14" t="s">
        <v>74</v>
      </c>
      <c r="D3" s="14"/>
      <c r="E3" s="14"/>
      <c r="F3" s="14"/>
      <c r="G3" s="14"/>
    </row>
    <row r="4" spans="1:7" x14ac:dyDescent="0.2">
      <c r="A4" s="8" t="s">
        <v>76</v>
      </c>
      <c r="B4" s="9">
        <v>2</v>
      </c>
      <c r="C4" s="9" t="s">
        <v>74</v>
      </c>
      <c r="D4" s="9"/>
      <c r="E4" s="9"/>
      <c r="F4" s="9"/>
      <c r="G4" s="9"/>
    </row>
    <row r="5" spans="1:7" x14ac:dyDescent="0.2">
      <c r="A5" s="13" t="s">
        <v>77</v>
      </c>
      <c r="B5" s="14">
        <v>1</v>
      </c>
      <c r="C5" s="14" t="s">
        <v>74</v>
      </c>
      <c r="D5" s="14"/>
      <c r="E5" s="14"/>
      <c r="F5" s="14"/>
      <c r="G5" s="14"/>
    </row>
    <row r="6" spans="1:7" x14ac:dyDescent="0.2">
      <c r="A6" s="8" t="s">
        <v>78</v>
      </c>
      <c r="B6" s="9">
        <v>1</v>
      </c>
      <c r="C6" s="9" t="s">
        <v>74</v>
      </c>
      <c r="D6" s="9"/>
      <c r="E6" s="9"/>
      <c r="F6" s="20"/>
      <c r="G6" s="9"/>
    </row>
    <row r="7" spans="1:7" x14ac:dyDescent="0.2">
      <c r="A7" s="13" t="s">
        <v>79</v>
      </c>
      <c r="B7" s="14">
        <v>1</v>
      </c>
      <c r="C7" s="14" t="s">
        <v>74</v>
      </c>
      <c r="D7" s="14"/>
      <c r="E7" s="14"/>
      <c r="F7" s="14"/>
      <c r="G7" s="14"/>
    </row>
    <row r="8" spans="1:7" x14ac:dyDescent="0.2">
      <c r="A8" s="8" t="s">
        <v>80</v>
      </c>
      <c r="B8" s="9">
        <v>1</v>
      </c>
      <c r="C8" s="9" t="s">
        <v>74</v>
      </c>
      <c r="D8" s="9"/>
      <c r="E8" s="9"/>
      <c r="F8" s="9"/>
      <c r="G8" s="9"/>
    </row>
    <row r="9" spans="1:7" x14ac:dyDescent="0.2">
      <c r="A9" s="44"/>
      <c r="B9" s="14"/>
      <c r="C9" s="18"/>
      <c r="D9" s="45"/>
      <c r="E9" s="45"/>
      <c r="F9" s="46"/>
      <c r="G9" s="18"/>
    </row>
    <row r="10" spans="1:7" x14ac:dyDescent="0.2">
      <c r="A10" s="47"/>
      <c r="B10" s="9"/>
      <c r="C10" s="48"/>
      <c r="D10" s="49"/>
      <c r="E10" s="49"/>
      <c r="F10" s="50"/>
      <c r="G10" s="48"/>
    </row>
    <row r="11" spans="1:7" x14ac:dyDescent="0.2">
      <c r="A11" s="44"/>
      <c r="B11" s="18"/>
      <c r="C11" s="14"/>
      <c r="D11" s="45"/>
      <c r="E11" s="45"/>
      <c r="F11" s="46"/>
      <c r="G11" s="18"/>
    </row>
    <row r="12" spans="1:7" x14ac:dyDescent="0.2">
      <c r="A12" s="47"/>
      <c r="B12" s="48"/>
      <c r="C12" s="48"/>
      <c r="D12" s="48"/>
      <c r="E12" s="48"/>
      <c r="F12" s="50"/>
      <c r="G12" s="48"/>
    </row>
    <row r="13" spans="1:7" x14ac:dyDescent="0.2">
      <c r="A13" s="44"/>
      <c r="B13" s="18"/>
      <c r="C13" s="18"/>
      <c r="D13" s="18"/>
      <c r="E13" s="18"/>
      <c r="F13" s="46"/>
      <c r="G13" s="18"/>
    </row>
    <row r="14" spans="1:7" x14ac:dyDescent="0.2">
      <c r="A14" s="47"/>
      <c r="B14" s="48"/>
      <c r="C14" s="48"/>
      <c r="D14" s="48"/>
      <c r="E14" s="48"/>
      <c r="F14" s="50"/>
      <c r="G14" s="48"/>
    </row>
    <row r="15" spans="1:7" x14ac:dyDescent="0.2">
      <c r="A15" s="51"/>
      <c r="B15" s="52"/>
      <c r="C15" s="52"/>
      <c r="D15" s="52"/>
      <c r="E15" s="52"/>
      <c r="F15" s="53"/>
      <c r="G15" s="52"/>
    </row>
  </sheetData>
  <dataValidations count="2">
    <dataValidation type="list" allowBlank="1" sqref="C2:C8" xr:uid="{00000000-0002-0000-0200-000000000000}">
      <formula1>"Pas commencé,En conception,Rejeté,Validé,En cours de valid"</formula1>
    </dataValidation>
    <dataValidation allowBlank="1" showDropDown="1" sqref="F2:F15" xr:uid="{00000000-0002-0000-0200-000001000000}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140625" customWidth="1"/>
    <col min="2" max="2" width="44.7109375" customWidth="1"/>
    <col min="3" max="3" width="60" customWidth="1"/>
    <col min="4" max="4" width="50.85546875" customWidth="1"/>
  </cols>
  <sheetData>
    <row r="1" spans="1:4" x14ac:dyDescent="0.2">
      <c r="A1" s="54" t="s">
        <v>81</v>
      </c>
      <c r="B1" s="54" t="s">
        <v>82</v>
      </c>
      <c r="C1" s="54" t="s">
        <v>83</v>
      </c>
      <c r="D1" s="54" t="s">
        <v>84</v>
      </c>
    </row>
    <row r="2" spans="1:4" x14ac:dyDescent="0.2">
      <c r="A2" s="55" t="s">
        <v>85</v>
      </c>
      <c r="B2" s="56" t="s">
        <v>86</v>
      </c>
      <c r="C2" s="56" t="s">
        <v>87</v>
      </c>
      <c r="D2" s="56" t="s">
        <v>88</v>
      </c>
    </row>
    <row r="3" spans="1:4" x14ac:dyDescent="0.2">
      <c r="A3" s="55" t="s">
        <v>89</v>
      </c>
      <c r="B3" s="56" t="s">
        <v>90</v>
      </c>
      <c r="C3" s="56" t="s">
        <v>91</v>
      </c>
      <c r="D3" s="56" t="s">
        <v>92</v>
      </c>
    </row>
    <row r="4" spans="1:4" x14ac:dyDescent="0.2">
      <c r="A4" s="55" t="s">
        <v>93</v>
      </c>
      <c r="B4" s="56" t="s">
        <v>94</v>
      </c>
      <c r="C4" s="56" t="s">
        <v>95</v>
      </c>
      <c r="D4" s="56" t="s">
        <v>96</v>
      </c>
    </row>
    <row r="5" spans="1:4" x14ac:dyDescent="0.2">
      <c r="A5" s="55" t="s">
        <v>97</v>
      </c>
      <c r="B5" s="56" t="s">
        <v>98</v>
      </c>
      <c r="C5" s="56" t="s">
        <v>99</v>
      </c>
      <c r="D5" s="56" t="s">
        <v>100</v>
      </c>
    </row>
    <row r="6" spans="1:4" x14ac:dyDescent="0.2">
      <c r="A6" s="55" t="s">
        <v>101</v>
      </c>
      <c r="B6" s="56" t="s">
        <v>102</v>
      </c>
      <c r="C6" s="56" t="s">
        <v>103</v>
      </c>
      <c r="D6" s="56" t="s">
        <v>104</v>
      </c>
    </row>
    <row r="7" spans="1:4" x14ac:dyDescent="0.2">
      <c r="A7" s="55" t="s">
        <v>105</v>
      </c>
      <c r="B7" s="56" t="s">
        <v>106</v>
      </c>
      <c r="C7" s="56" t="s">
        <v>107</v>
      </c>
      <c r="D7" s="56" t="s">
        <v>108</v>
      </c>
    </row>
    <row r="8" spans="1:4" x14ac:dyDescent="0.2">
      <c r="A8" s="55" t="s">
        <v>109</v>
      </c>
      <c r="B8" s="56" t="s">
        <v>110</v>
      </c>
      <c r="C8" s="56" t="s">
        <v>111</v>
      </c>
      <c r="D8" s="56" t="s">
        <v>112</v>
      </c>
    </row>
    <row r="9" spans="1:4" x14ac:dyDescent="0.2">
      <c r="A9" s="55" t="s">
        <v>113</v>
      </c>
      <c r="B9" s="56" t="s">
        <v>114</v>
      </c>
      <c r="C9" s="56" t="s">
        <v>115</v>
      </c>
      <c r="D9" s="56" t="s">
        <v>116</v>
      </c>
    </row>
    <row r="10" spans="1:4" x14ac:dyDescent="0.2">
      <c r="A10" s="55" t="s">
        <v>117</v>
      </c>
      <c r="B10" s="56" t="s">
        <v>118</v>
      </c>
      <c r="C10" s="56" t="s">
        <v>119</v>
      </c>
      <c r="D10" s="56" t="s">
        <v>120</v>
      </c>
    </row>
    <row r="11" spans="1:4" x14ac:dyDescent="0.2">
      <c r="A11" s="55" t="s">
        <v>121</v>
      </c>
      <c r="B11" s="56" t="s">
        <v>122</v>
      </c>
      <c r="C11" s="56" t="s">
        <v>123</v>
      </c>
      <c r="D11" s="56" t="s">
        <v>124</v>
      </c>
    </row>
    <row r="12" spans="1:4" x14ac:dyDescent="0.2">
      <c r="A12" s="55" t="s">
        <v>125</v>
      </c>
      <c r="B12" s="56" t="s">
        <v>126</v>
      </c>
      <c r="C12" s="56" t="s">
        <v>127</v>
      </c>
      <c r="D12" s="56" t="s">
        <v>128</v>
      </c>
    </row>
    <row r="13" spans="1:4" x14ac:dyDescent="0.2">
      <c r="A13" s="55" t="s">
        <v>129</v>
      </c>
      <c r="B13" s="56" t="s">
        <v>130</v>
      </c>
      <c r="C13" s="56" t="s">
        <v>131</v>
      </c>
      <c r="D13" s="56" t="s">
        <v>132</v>
      </c>
    </row>
    <row r="14" spans="1:4" x14ac:dyDescent="0.2">
      <c r="A14" s="55" t="s">
        <v>133</v>
      </c>
      <c r="B14" s="57" t="s">
        <v>134</v>
      </c>
      <c r="C14" s="58" t="s">
        <v>135</v>
      </c>
      <c r="D14" s="59" t="s">
        <v>136</v>
      </c>
    </row>
    <row r="15" spans="1:4" x14ac:dyDescent="0.2">
      <c r="A15" s="60"/>
      <c r="B15" s="60"/>
      <c r="C15" s="61"/>
      <c r="D15" s="61"/>
    </row>
    <row r="16" spans="1:4" x14ac:dyDescent="0.2">
      <c r="A16" s="60"/>
      <c r="B16" s="60"/>
      <c r="C16" s="61"/>
      <c r="D16" s="62"/>
    </row>
    <row r="17" spans="1:4" x14ac:dyDescent="0.2">
      <c r="A17" s="60"/>
      <c r="B17" s="60"/>
      <c r="C17" s="61"/>
      <c r="D17" s="62"/>
    </row>
    <row r="18" spans="1:4" x14ac:dyDescent="0.2">
      <c r="A18" s="60"/>
      <c r="B18" s="60"/>
      <c r="C18" s="61"/>
      <c r="D18" s="61"/>
    </row>
    <row r="19" spans="1:4" x14ac:dyDescent="0.2">
      <c r="A19" s="60"/>
      <c r="B19" s="60"/>
      <c r="C19" s="61"/>
      <c r="D19" s="61"/>
    </row>
    <row r="20" spans="1:4" x14ac:dyDescent="0.2">
      <c r="A20" s="60"/>
      <c r="B20" s="60"/>
      <c r="C20" s="61"/>
      <c r="D20" s="62"/>
    </row>
    <row r="21" spans="1:4" x14ac:dyDescent="0.2">
      <c r="A21" s="60"/>
      <c r="B21" s="60"/>
      <c r="C21" s="61"/>
      <c r="D21" s="62"/>
    </row>
    <row r="22" spans="1:4" x14ac:dyDescent="0.2">
      <c r="A22" s="60"/>
      <c r="B22" s="60"/>
      <c r="C22" s="61"/>
      <c r="D22" s="62"/>
    </row>
    <row r="23" spans="1:4" x14ac:dyDescent="0.2">
      <c r="A23" s="60"/>
      <c r="B23" s="60"/>
      <c r="C23" s="61"/>
      <c r="D23" s="62"/>
    </row>
    <row r="24" spans="1:4" x14ac:dyDescent="0.2">
      <c r="A24" s="60"/>
      <c r="B24" s="60"/>
      <c r="C24" s="61"/>
      <c r="D24" s="62"/>
    </row>
    <row r="25" spans="1:4" x14ac:dyDescent="0.2">
      <c r="A25" s="60"/>
      <c r="B25" s="60"/>
      <c r="C25" s="61"/>
      <c r="D25" s="61"/>
    </row>
    <row r="26" spans="1:4" x14ac:dyDescent="0.2">
      <c r="A26" s="60"/>
      <c r="B26" s="60"/>
      <c r="C26" s="61"/>
      <c r="D26" s="61"/>
    </row>
    <row r="27" spans="1:4" x14ac:dyDescent="0.2">
      <c r="A27" s="60"/>
      <c r="B27" s="60"/>
      <c r="C27" s="61"/>
      <c r="D27" s="61"/>
    </row>
    <row r="28" spans="1:4" x14ac:dyDescent="0.2">
      <c r="A28" s="60"/>
      <c r="B28" s="60"/>
      <c r="C28" s="61"/>
      <c r="D28" s="62"/>
    </row>
    <row r="29" spans="1:4" x14ac:dyDescent="0.2">
      <c r="A29" s="60"/>
      <c r="B29" s="60"/>
      <c r="C29" s="61"/>
      <c r="D29" s="62"/>
    </row>
    <row r="30" spans="1:4" x14ac:dyDescent="0.2">
      <c r="A30" s="60"/>
      <c r="B30" s="60"/>
      <c r="C30" s="61"/>
      <c r="D30" s="61"/>
    </row>
    <row r="31" spans="1:4" x14ac:dyDescent="0.2">
      <c r="A31" s="60"/>
      <c r="B31" s="60"/>
      <c r="C31" s="61"/>
      <c r="D31" s="62"/>
    </row>
    <row r="32" spans="1:4" x14ac:dyDescent="0.2">
      <c r="A32" s="60"/>
      <c r="B32" s="60"/>
      <c r="C32" s="61"/>
      <c r="D32" s="61"/>
    </row>
    <row r="33" spans="1:4" x14ac:dyDescent="0.2">
      <c r="A33" s="60"/>
      <c r="B33" s="60"/>
      <c r="C33" s="61"/>
      <c r="D33" s="61"/>
    </row>
    <row r="34" spans="1:4" x14ac:dyDescent="0.2">
      <c r="A34" s="60"/>
      <c r="B34" s="60"/>
      <c r="C34" s="61"/>
      <c r="D34" s="61"/>
    </row>
    <row r="35" spans="1:4" x14ac:dyDescent="0.2">
      <c r="A35" s="60"/>
      <c r="B35" s="60"/>
      <c r="C35" s="61"/>
      <c r="D35" s="62"/>
    </row>
    <row r="36" spans="1:4" x14ac:dyDescent="0.2">
      <c r="A36" s="60"/>
      <c r="B36" s="60"/>
      <c r="C36" s="61"/>
      <c r="D36" s="62"/>
    </row>
    <row r="37" spans="1:4" x14ac:dyDescent="0.2">
      <c r="A37" s="60"/>
      <c r="B37" s="60"/>
      <c r="C37" s="61"/>
      <c r="D37" s="62"/>
    </row>
    <row r="38" spans="1:4" x14ac:dyDescent="0.2">
      <c r="A38" s="60"/>
      <c r="B38" s="60"/>
      <c r="C38" s="61"/>
      <c r="D38" s="62"/>
    </row>
    <row r="39" spans="1:4" x14ac:dyDescent="0.2">
      <c r="A39" s="60"/>
      <c r="B39" s="60"/>
      <c r="C39" s="61"/>
      <c r="D39" s="61"/>
    </row>
    <row r="40" spans="1:4" x14ac:dyDescent="0.2">
      <c r="A40" s="60"/>
      <c r="B40" s="60"/>
      <c r="C40" s="61"/>
      <c r="D40" s="6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5A43BC76E1146925E535E70234EDE" ma:contentTypeVersion="3" ma:contentTypeDescription="Create a new document." ma:contentTypeScope="" ma:versionID="d90040c039f78bc35f780a3628a8315e">
  <xsd:schema xmlns:xsd="http://www.w3.org/2001/XMLSchema" xmlns:xs="http://www.w3.org/2001/XMLSchema" xmlns:p="http://schemas.microsoft.com/office/2006/metadata/properties" xmlns:ns2="acbd1efe-d115-44a9-b528-5b0d5d8c9f15" targetNamespace="http://schemas.microsoft.com/office/2006/metadata/properties" ma:root="true" ma:fieldsID="0bf7d9eb068a1ed7732dcbabb90a6d04" ns2:_="">
    <xsd:import namespace="acbd1efe-d115-44a9-b528-5b0d5d8c9f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d1efe-d115-44a9-b528-5b0d5d8c9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24124-1587-45A9-8C14-C4E54763D8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9B037C-66D4-4D09-B2F2-CF5051D56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5A582-476D-4181-BFAA-FDFFBFB47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d1efe-d115-44a9-b528-5b0d5d8c9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Feuille 1</vt:lpstr>
      <vt:lpstr>Nomenclature (commande)</vt:lpstr>
      <vt:lpstr>Nomenclature (CAO)</vt:lpstr>
      <vt:lpstr>CDCF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Volles</dc:creator>
  <cp:lastModifiedBy>Leon Volles</cp:lastModifiedBy>
  <dcterms:modified xsi:type="dcterms:W3CDTF">2026-01-19T22:10:02Z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0x0101003625A43BC76E1146925E535E70234EDE</vt:lpwstr>
  </property>
</Properties>
</file>